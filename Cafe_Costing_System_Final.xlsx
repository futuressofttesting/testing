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s" sheetId="1" state="visible" r:id="rId1"/>
    <sheet xmlns:r="http://schemas.openxmlformats.org/officeDocument/2006/relationships" name="Recipes" sheetId="2" state="visible" r:id="rId2"/>
    <sheet xmlns:r="http://schemas.openxmlformats.org/officeDocument/2006/relationships" name="Drink Co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Unit</t>
        </is>
      </c>
      <c r="C1" s="1" t="inlineStr">
        <is>
          <t>Purchase Qty</t>
        </is>
      </c>
      <c r="D1" s="1" t="inlineStr">
        <is>
          <t>Purchase Cost</t>
        </is>
      </c>
      <c r="E1" s="1" t="inlineStr">
        <is>
          <t>Cost Per Unit</t>
        </is>
      </c>
    </row>
    <row r="2">
      <c r="A2" t="inlineStr">
        <is>
          <t>Coffee</t>
        </is>
      </c>
      <c r="B2" t="inlineStr">
        <is>
          <t>g</t>
        </is>
      </c>
      <c r="C2" t="n">
        <v>1000</v>
      </c>
      <c r="D2" t="n">
        <v>100</v>
      </c>
      <c r="E2">
        <f>IFERROR(D2/C2,0)</f>
        <v/>
      </c>
    </row>
    <row r="3">
      <c r="A3" t="inlineStr">
        <is>
          <t>Milk</t>
        </is>
      </c>
      <c r="B3" t="inlineStr">
        <is>
          <t>ml</t>
        </is>
      </c>
      <c r="C3" t="n">
        <v>1000</v>
      </c>
      <c r="D3" t="n">
        <v>100</v>
      </c>
      <c r="E3">
        <f>IFERROR(D3/C3,0)</f>
        <v/>
      </c>
    </row>
    <row r="4">
      <c r="A4" t="inlineStr">
        <is>
          <t>Water</t>
        </is>
      </c>
      <c r="B4" t="inlineStr">
        <is>
          <t>ml</t>
        </is>
      </c>
      <c r="C4" t="n">
        <v>1000</v>
      </c>
      <c r="D4" t="n">
        <v>100</v>
      </c>
      <c r="E4">
        <f>IFERROR(D4/C4,0)</f>
        <v/>
      </c>
    </row>
    <row r="5">
      <c r="A5" t="inlineStr">
        <is>
          <t>Sugar</t>
        </is>
      </c>
      <c r="B5" t="inlineStr">
        <is>
          <t>g</t>
        </is>
      </c>
      <c r="C5" t="n">
        <v>1000</v>
      </c>
      <c r="D5" t="n">
        <v>100</v>
      </c>
      <c r="E5">
        <f>IFERROR(D5/C5,0)</f>
        <v/>
      </c>
    </row>
    <row r="6">
      <c r="A6" t="inlineStr">
        <is>
          <t>Packaging</t>
        </is>
      </c>
      <c r="B6" t="inlineStr">
        <is>
          <t>pc</t>
        </is>
      </c>
      <c r="C6" t="n">
        <v>1000</v>
      </c>
      <c r="D6" t="n">
        <v>100</v>
      </c>
      <c r="E6">
        <f>IFERROR(D6/C6,0)</f>
        <v/>
      </c>
    </row>
    <row r="7">
      <c r="A7" t="inlineStr">
        <is>
          <t>Ice</t>
        </is>
      </c>
      <c r="B7" t="inlineStr">
        <is>
          <t>g</t>
        </is>
      </c>
      <c r="C7" t="n">
        <v>1000</v>
      </c>
      <c r="D7" t="n">
        <v>100</v>
      </c>
      <c r="E7">
        <f>IFERROR(D7/C7,0)</f>
        <v/>
      </c>
    </row>
    <row r="8">
      <c r="A8" t="inlineStr">
        <is>
          <t>Chocolate Syrup</t>
        </is>
      </c>
      <c r="B8" t="inlineStr">
        <is>
          <t>ml</t>
        </is>
      </c>
      <c r="C8" t="n">
        <v>1000</v>
      </c>
      <c r="D8" t="n">
        <v>100</v>
      </c>
      <c r="E8">
        <f>IFERROR(D8/C8,0)</f>
        <v/>
      </c>
    </row>
    <row r="9">
      <c r="A9" t="inlineStr">
        <is>
          <t>Caramel Syrup</t>
        </is>
      </c>
      <c r="B9" t="inlineStr">
        <is>
          <t>ml</t>
        </is>
      </c>
      <c r="C9" t="n">
        <v>1000</v>
      </c>
      <c r="D9" t="n">
        <v>100</v>
      </c>
      <c r="E9">
        <f>IFERROR(D9/C9,0)</f>
        <v/>
      </c>
    </row>
    <row r="10">
      <c r="A10" t="inlineStr">
        <is>
          <t>Vanilla Syrup</t>
        </is>
      </c>
      <c r="B10" t="inlineStr">
        <is>
          <t>ml</t>
        </is>
      </c>
      <c r="C10" t="n">
        <v>1000</v>
      </c>
      <c r="D10" t="n">
        <v>100</v>
      </c>
      <c r="E10">
        <f>IFERROR(D10/C10,0)</f>
        <v/>
      </c>
    </row>
    <row r="11">
      <c r="A11" t="inlineStr">
        <is>
          <t>Matcha</t>
        </is>
      </c>
      <c r="B11" t="inlineStr">
        <is>
          <t>g</t>
        </is>
      </c>
      <c r="C11" t="n">
        <v>1000</v>
      </c>
      <c r="D11" t="n">
        <v>100</v>
      </c>
      <c r="E11">
        <f>IFERROR(D11/C11,0)</f>
        <v/>
      </c>
    </row>
    <row r="12">
      <c r="A12" t="inlineStr">
        <is>
          <t>Honey</t>
        </is>
      </c>
      <c r="B12" t="inlineStr">
        <is>
          <t>ml</t>
        </is>
      </c>
      <c r="C12" t="n">
        <v>1000</v>
      </c>
      <c r="D12" t="n">
        <v>100</v>
      </c>
      <c r="E12">
        <f>IFERROR(D12/C12,0)</f>
        <v/>
      </c>
    </row>
    <row r="13">
      <c r="A13" t="inlineStr">
        <is>
          <t>Cinnamon</t>
        </is>
      </c>
      <c r="B13" t="inlineStr">
        <is>
          <t>g</t>
        </is>
      </c>
      <c r="C13" t="n">
        <v>1000</v>
      </c>
      <c r="D13" t="n">
        <v>100</v>
      </c>
      <c r="E13">
        <f>IFERROR(D13/C13,0)</f>
        <v/>
      </c>
    </row>
    <row r="14">
      <c r="A14" t="inlineStr">
        <is>
          <t>Lemon</t>
        </is>
      </c>
      <c r="B14" t="inlineStr">
        <is>
          <t>pc</t>
        </is>
      </c>
      <c r="C14" t="n">
        <v>1000</v>
      </c>
      <c r="D14" t="n">
        <v>100</v>
      </c>
      <c r="E14">
        <f>IFERROR(D14/C14,0)</f>
        <v/>
      </c>
    </row>
    <row r="15">
      <c r="A15" t="inlineStr">
        <is>
          <t>Mint</t>
        </is>
      </c>
      <c r="B15" t="inlineStr">
        <is>
          <t>g</t>
        </is>
      </c>
      <c r="C15" t="n">
        <v>1000</v>
      </c>
      <c r="D15" t="n">
        <v>100</v>
      </c>
      <c r="E15">
        <f>IFERROR(D15/C15,0)</f>
        <v/>
      </c>
    </row>
    <row r="16">
      <c r="A16" t="inlineStr">
        <is>
          <t>Tea</t>
        </is>
      </c>
      <c r="B16" t="inlineStr">
        <is>
          <t>g</t>
        </is>
      </c>
      <c r="C16" t="n">
        <v>1000</v>
      </c>
      <c r="D16" t="n">
        <v>100</v>
      </c>
      <c r="E16">
        <f>IFERROR(D16/C16,0)</f>
        <v/>
      </c>
    </row>
    <row r="17">
      <c r="A17" t="inlineStr">
        <is>
          <t>Chamomile Tea</t>
        </is>
      </c>
      <c r="B17" t="inlineStr">
        <is>
          <t>bag</t>
        </is>
      </c>
      <c r="C17" t="n">
        <v>1000</v>
      </c>
      <c r="D17" t="n">
        <v>100</v>
      </c>
      <c r="E17">
        <f>IFERROR(D17/C17,0)</f>
        <v/>
      </c>
    </row>
    <row r="18">
      <c r="A18" t="inlineStr">
        <is>
          <t>Hibiscus Tea</t>
        </is>
      </c>
      <c r="B18" t="inlineStr">
        <is>
          <t>bag</t>
        </is>
      </c>
      <c r="C18" t="n">
        <v>1000</v>
      </c>
      <c r="D18" t="n">
        <v>100</v>
      </c>
      <c r="E18">
        <f>IFERROR(D18/C18,0)</f>
        <v/>
      </c>
    </row>
    <row r="19">
      <c r="A19" t="inlineStr">
        <is>
          <t>Butterfly Pea Tea</t>
        </is>
      </c>
      <c r="B19" t="inlineStr">
        <is>
          <t>bag</t>
        </is>
      </c>
      <c r="C19" t="n">
        <v>1000</v>
      </c>
      <c r="D19" t="n">
        <v>100</v>
      </c>
      <c r="E19">
        <f>IFERROR(D19/C19,0)</f>
        <v/>
      </c>
    </row>
    <row r="20">
      <c r="A20" t="inlineStr">
        <is>
          <t>Peach Powder</t>
        </is>
      </c>
      <c r="B20" t="inlineStr">
        <is>
          <t>g</t>
        </is>
      </c>
      <c r="C20" t="n">
        <v>1000</v>
      </c>
      <c r="D20" t="n">
        <v>100</v>
      </c>
      <c r="E20">
        <f>IFERROR(D20/C20,0)</f>
        <v/>
      </c>
    </row>
    <row r="21">
      <c r="A21" t="inlineStr">
        <is>
          <t>Strawberry Syrup</t>
        </is>
      </c>
      <c r="B21" t="inlineStr">
        <is>
          <t>ml</t>
        </is>
      </c>
      <c r="C21" t="n">
        <v>1000</v>
      </c>
      <c r="D21" t="n">
        <v>100</v>
      </c>
      <c r="E21">
        <f>IFERROR(D21/C21,0)</f>
        <v/>
      </c>
    </row>
    <row r="22">
      <c r="A22" t="inlineStr">
        <is>
          <t>Blueberry Syrup</t>
        </is>
      </c>
      <c r="B22" t="inlineStr">
        <is>
          <t>ml</t>
        </is>
      </c>
      <c r="C22" t="n">
        <v>1000</v>
      </c>
      <c r="D22" t="n">
        <v>100</v>
      </c>
      <c r="E22">
        <f>IFERROR(D22/C22,0)</f>
        <v/>
      </c>
    </row>
    <row r="23">
      <c r="A23" t="inlineStr">
        <is>
          <t>Nutella</t>
        </is>
      </c>
      <c r="B23" t="inlineStr">
        <is>
          <t>g</t>
        </is>
      </c>
      <c r="C23" t="n">
        <v>1000</v>
      </c>
      <c r="D23" t="n">
        <v>100</v>
      </c>
      <c r="E23">
        <f>IFERROR(D23/C23,0)</f>
        <v/>
      </c>
    </row>
    <row r="24">
      <c r="A24" t="inlineStr">
        <is>
          <t>Coconut Milk</t>
        </is>
      </c>
      <c r="B24" t="inlineStr">
        <is>
          <t>ml</t>
        </is>
      </c>
      <c r="C24" t="n">
        <v>1000</v>
      </c>
      <c r="D24" t="n">
        <v>100</v>
      </c>
      <c r="E24">
        <f>IFERROR(D24/C24,0)</f>
        <v/>
      </c>
    </row>
    <row r="25">
      <c r="A25" t="inlineStr">
        <is>
          <t>Coconut Cream</t>
        </is>
      </c>
      <c r="B25" t="inlineStr">
        <is>
          <t>ml</t>
        </is>
      </c>
      <c r="C25" t="n">
        <v>1000</v>
      </c>
      <c r="D25" t="n">
        <v>100</v>
      </c>
      <c r="E25">
        <f>IFERROR(D25/C25,0)</f>
        <v/>
      </c>
    </row>
    <row r="26">
      <c r="A26" t="inlineStr">
        <is>
          <t>Cocoa Powder</t>
        </is>
      </c>
      <c r="B26" t="inlineStr">
        <is>
          <t>g</t>
        </is>
      </c>
      <c r="C26" t="n">
        <v>1000</v>
      </c>
      <c r="D26" t="n">
        <v>100</v>
      </c>
      <c r="E26">
        <f>IFERROR(D26/C26,0)</f>
        <v/>
      </c>
    </row>
    <row r="27">
      <c r="A27" t="inlineStr">
        <is>
          <t>Sprite</t>
        </is>
      </c>
      <c r="B27" t="inlineStr">
        <is>
          <t>ml</t>
        </is>
      </c>
      <c r="C27" t="n">
        <v>1000</v>
      </c>
      <c r="D27" t="n">
        <v>100</v>
      </c>
      <c r="E27">
        <f>IFERROR(D27/C27,0)</f>
        <v/>
      </c>
    </row>
    <row r="28">
      <c r="A28" t="inlineStr">
        <is>
          <t>Soda Water</t>
        </is>
      </c>
      <c r="B28" t="inlineStr">
        <is>
          <t>ml</t>
        </is>
      </c>
      <c r="C28" t="n">
        <v>1000</v>
      </c>
      <c r="D28" t="n">
        <v>100</v>
      </c>
      <c r="E28">
        <f>IFERROR(D28/C28,0)</f>
        <v/>
      </c>
    </row>
    <row r="29">
      <c r="A29" t="inlineStr">
        <is>
          <t>Passion Fruit Syrup</t>
        </is>
      </c>
      <c r="B29" t="inlineStr">
        <is>
          <t>ml</t>
        </is>
      </c>
      <c r="C29" t="n">
        <v>1000</v>
      </c>
      <c r="D29" t="n">
        <v>100</v>
      </c>
      <c r="E29">
        <f>IFERROR(D29/C29,0)</f>
        <v/>
      </c>
    </row>
    <row r="30">
      <c r="A30" t="inlineStr">
        <is>
          <t>Avocado</t>
        </is>
      </c>
      <c r="B30" t="inlineStr">
        <is>
          <t>g</t>
        </is>
      </c>
      <c r="C30" t="n">
        <v>1000</v>
      </c>
      <c r="D30" t="n">
        <v>100</v>
      </c>
      <c r="E30">
        <f>IFERROR(D30/C30,0)</f>
        <v/>
      </c>
    </row>
    <row r="31">
      <c r="A31" t="inlineStr">
        <is>
          <t>Banana</t>
        </is>
      </c>
      <c r="B31" t="inlineStr">
        <is>
          <t>g</t>
        </is>
      </c>
      <c r="C31" t="n">
        <v>1000</v>
      </c>
      <c r="D31" t="n">
        <v>100</v>
      </c>
      <c r="E31">
        <f>IFERROR(D31/C31,0)</f>
        <v/>
      </c>
    </row>
    <row r="32">
      <c r="A32" t="inlineStr">
        <is>
          <t>Whipping Cream</t>
        </is>
      </c>
      <c r="B32" t="inlineStr">
        <is>
          <t>ml</t>
        </is>
      </c>
      <c r="C32" t="n">
        <v>1000</v>
      </c>
      <c r="D32" t="n">
        <v>100</v>
      </c>
      <c r="E32">
        <f>IFERROR(D32/C32,0)</f>
        <v/>
      </c>
    </row>
    <row r="33">
      <c r="A33" t="inlineStr">
        <is>
          <t>Ginger</t>
        </is>
      </c>
      <c r="B33" t="inlineStr">
        <is>
          <t>g</t>
        </is>
      </c>
      <c r="C33" t="n">
        <v>1000</v>
      </c>
      <c r="D33" t="n">
        <v>100</v>
      </c>
      <c r="E33">
        <f>IFERROR(D33/C33,0)</f>
        <v/>
      </c>
    </row>
    <row r="34">
      <c r="A34" t="inlineStr">
        <is>
          <t>Ice Cream</t>
        </is>
      </c>
      <c r="B34" t="inlineStr">
        <is>
          <t>scoop</t>
        </is>
      </c>
      <c r="C34" t="n">
        <v>1000</v>
      </c>
      <c r="D34" t="n">
        <v>100</v>
      </c>
      <c r="E34">
        <f>IFERROR(D34/C34,0)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Drink</t>
        </is>
      </c>
      <c r="B1" s="1" t="inlineStr">
        <is>
          <t>Ingredient</t>
        </is>
      </c>
      <c r="C1" s="1" t="inlineStr">
        <is>
          <t>Qty Used</t>
        </is>
      </c>
    </row>
    <row r="2">
      <c r="A2" t="inlineStr">
        <is>
          <t>Espresso</t>
        </is>
      </c>
      <c r="B2" t="inlineStr">
        <is>
          <t>Coffee</t>
        </is>
      </c>
      <c r="C2" t="n">
        <v>9.5</v>
      </c>
    </row>
    <row r="3">
      <c r="A3" t="inlineStr">
        <is>
          <t>Espresso</t>
        </is>
      </c>
      <c r="B3" t="inlineStr">
        <is>
          <t>Water</t>
        </is>
      </c>
      <c r="C3" t="n">
        <v>30</v>
      </c>
    </row>
    <row r="4">
      <c r="A4" t="inlineStr">
        <is>
          <t>Espresso</t>
        </is>
      </c>
      <c r="B4" t="inlineStr">
        <is>
          <t>Packaging</t>
        </is>
      </c>
      <c r="C4" t="n">
        <v>1</v>
      </c>
    </row>
    <row r="5">
      <c r="A5" t="inlineStr">
        <is>
          <t>Doppio</t>
        </is>
      </c>
      <c r="B5" t="inlineStr">
        <is>
          <t>Coffee</t>
        </is>
      </c>
      <c r="C5" t="n">
        <v>18</v>
      </c>
    </row>
    <row r="6">
      <c r="A6" t="inlineStr">
        <is>
          <t>Doppio</t>
        </is>
      </c>
      <c r="B6" t="inlineStr">
        <is>
          <t>Water</t>
        </is>
      </c>
      <c r="C6" t="n">
        <v>60</v>
      </c>
    </row>
    <row r="7">
      <c r="A7" t="inlineStr">
        <is>
          <t>Doppio</t>
        </is>
      </c>
      <c r="B7" t="inlineStr">
        <is>
          <t>Packaging</t>
        </is>
      </c>
      <c r="C7" t="n">
        <v>1</v>
      </c>
    </row>
    <row r="8">
      <c r="A8" t="inlineStr">
        <is>
          <t>Ristretto</t>
        </is>
      </c>
      <c r="B8" t="inlineStr">
        <is>
          <t>Coffee</t>
        </is>
      </c>
      <c r="C8" t="n">
        <v>9.5</v>
      </c>
    </row>
    <row r="9">
      <c r="A9" t="inlineStr">
        <is>
          <t>Ristretto</t>
        </is>
      </c>
      <c r="B9" t="inlineStr">
        <is>
          <t>Water</t>
        </is>
      </c>
      <c r="C9" t="n">
        <v>15</v>
      </c>
    </row>
    <row r="10">
      <c r="A10" t="inlineStr">
        <is>
          <t>Ristretto</t>
        </is>
      </c>
      <c r="B10" t="inlineStr">
        <is>
          <t>Packaging</t>
        </is>
      </c>
      <c r="C10" t="n">
        <v>1</v>
      </c>
    </row>
    <row r="11">
      <c r="A11" t="inlineStr">
        <is>
          <t>Lungo</t>
        </is>
      </c>
      <c r="B11" t="inlineStr">
        <is>
          <t>Coffee</t>
        </is>
      </c>
      <c r="C11" t="n">
        <v>9.5</v>
      </c>
    </row>
    <row r="12">
      <c r="A12" t="inlineStr">
        <is>
          <t>Lungo</t>
        </is>
      </c>
      <c r="B12" t="inlineStr">
        <is>
          <t>Water</t>
        </is>
      </c>
      <c r="C12" t="n">
        <v>60</v>
      </c>
    </row>
    <row r="13">
      <c r="A13" t="inlineStr">
        <is>
          <t>Lungo</t>
        </is>
      </c>
      <c r="B13" t="inlineStr">
        <is>
          <t>Packaging</t>
        </is>
      </c>
      <c r="C13" t="n">
        <v>1</v>
      </c>
    </row>
    <row r="14">
      <c r="A14" t="inlineStr">
        <is>
          <t>Macchiato</t>
        </is>
      </c>
      <c r="B14" t="inlineStr">
        <is>
          <t>Coffee</t>
        </is>
      </c>
      <c r="C14" t="n">
        <v>9.5</v>
      </c>
    </row>
    <row r="15">
      <c r="A15" t="inlineStr">
        <is>
          <t>Macchiato</t>
        </is>
      </c>
      <c r="B15" t="inlineStr">
        <is>
          <t>Milk</t>
        </is>
      </c>
      <c r="C15" t="n">
        <v>10</v>
      </c>
    </row>
    <row r="16">
      <c r="A16" t="inlineStr">
        <is>
          <t>Macchiato</t>
        </is>
      </c>
      <c r="B16" t="inlineStr">
        <is>
          <t>Packaging</t>
        </is>
      </c>
      <c r="C16" t="n">
        <v>1</v>
      </c>
    </row>
    <row r="17">
      <c r="A17" t="inlineStr">
        <is>
          <t>Affogato</t>
        </is>
      </c>
      <c r="B17" t="inlineStr">
        <is>
          <t>Ice Cream</t>
        </is>
      </c>
      <c r="C17" t="n">
        <v>1</v>
      </c>
    </row>
    <row r="18">
      <c r="A18" t="inlineStr">
        <is>
          <t>Affogato</t>
        </is>
      </c>
      <c r="B18" t="inlineStr">
        <is>
          <t>Coffee</t>
        </is>
      </c>
      <c r="C18" t="n">
        <v>9.5</v>
      </c>
    </row>
    <row r="19">
      <c r="A19" t="inlineStr">
        <is>
          <t>Americano</t>
        </is>
      </c>
      <c r="B19" t="inlineStr">
        <is>
          <t>Coffee</t>
        </is>
      </c>
      <c r="C19" t="n">
        <v>9.5</v>
      </c>
    </row>
    <row r="20">
      <c r="A20" t="inlineStr">
        <is>
          <t>Americano</t>
        </is>
      </c>
      <c r="B20" t="inlineStr">
        <is>
          <t>Water</t>
        </is>
      </c>
      <c r="C20" t="n">
        <v>180</v>
      </c>
    </row>
    <row r="21">
      <c r="A21" t="inlineStr">
        <is>
          <t>Americano</t>
        </is>
      </c>
      <c r="B21" t="inlineStr">
        <is>
          <t>Sugar</t>
        </is>
      </c>
      <c r="C21" t="n">
        <v>5</v>
      </c>
    </row>
    <row r="22">
      <c r="A22" t="inlineStr">
        <is>
          <t>Americano</t>
        </is>
      </c>
      <c r="B22" t="inlineStr">
        <is>
          <t>Packaging</t>
        </is>
      </c>
      <c r="C22" t="n">
        <v>1</v>
      </c>
    </row>
    <row r="23">
      <c r="A23" t="inlineStr">
        <is>
          <t>Cafe Latte</t>
        </is>
      </c>
      <c r="B23" t="inlineStr">
        <is>
          <t>Coffee</t>
        </is>
      </c>
      <c r="C23" t="n">
        <v>9.5</v>
      </c>
    </row>
    <row r="24">
      <c r="A24" t="inlineStr">
        <is>
          <t>Cafe Latte</t>
        </is>
      </c>
      <c r="B24" t="inlineStr">
        <is>
          <t>Milk</t>
        </is>
      </c>
      <c r="C24" t="n">
        <v>180</v>
      </c>
    </row>
    <row r="25">
      <c r="A25" t="inlineStr">
        <is>
          <t>Cafe Latte</t>
        </is>
      </c>
      <c r="B25" t="inlineStr">
        <is>
          <t>Sugar</t>
        </is>
      </c>
      <c r="C25" t="n">
        <v>5</v>
      </c>
    </row>
    <row r="26">
      <c r="A26" t="inlineStr">
        <is>
          <t>Cafe Latte</t>
        </is>
      </c>
      <c r="B26" t="inlineStr">
        <is>
          <t>Packaging</t>
        </is>
      </c>
      <c r="C26" t="n">
        <v>1</v>
      </c>
    </row>
    <row r="27">
      <c r="A27" t="inlineStr">
        <is>
          <t>Cappuccino</t>
        </is>
      </c>
      <c r="B27" t="inlineStr">
        <is>
          <t>Coffee</t>
        </is>
      </c>
      <c r="C27" t="n">
        <v>9.5</v>
      </c>
    </row>
    <row r="28">
      <c r="A28" t="inlineStr">
        <is>
          <t>Cappuccino</t>
        </is>
      </c>
      <c r="B28" t="inlineStr">
        <is>
          <t>Milk</t>
        </is>
      </c>
      <c r="C28" t="n">
        <v>180</v>
      </c>
    </row>
    <row r="29">
      <c r="A29" t="inlineStr">
        <is>
          <t>Cappuccino</t>
        </is>
      </c>
      <c r="B29" t="inlineStr">
        <is>
          <t>Sugar</t>
        </is>
      </c>
      <c r="C29" t="n">
        <v>5</v>
      </c>
    </row>
    <row r="30">
      <c r="A30" t="inlineStr">
        <is>
          <t>Cappuccino</t>
        </is>
      </c>
      <c r="B30" t="inlineStr">
        <is>
          <t>Packaging</t>
        </is>
      </c>
      <c r="C30" t="n">
        <v>1</v>
      </c>
    </row>
    <row r="31">
      <c r="A31" t="inlineStr">
        <is>
          <t>Mocha</t>
        </is>
      </c>
      <c r="B31" t="inlineStr">
        <is>
          <t>Coffee</t>
        </is>
      </c>
      <c r="C31" t="n">
        <v>9.5</v>
      </c>
    </row>
    <row r="32">
      <c r="A32" t="inlineStr">
        <is>
          <t>Mocha</t>
        </is>
      </c>
      <c r="B32" t="inlineStr">
        <is>
          <t>Milk</t>
        </is>
      </c>
      <c r="C32" t="n">
        <v>180</v>
      </c>
    </row>
    <row r="33">
      <c r="A33" t="inlineStr">
        <is>
          <t>Mocha</t>
        </is>
      </c>
      <c r="B33" t="inlineStr">
        <is>
          <t>Chocolate Syrup</t>
        </is>
      </c>
      <c r="C33" t="n">
        <v>10</v>
      </c>
    </row>
    <row r="34">
      <c r="A34" t="inlineStr">
        <is>
          <t>Mocha</t>
        </is>
      </c>
      <c r="B34" t="inlineStr">
        <is>
          <t>Packaging</t>
        </is>
      </c>
      <c r="C34" t="n">
        <v>1</v>
      </c>
    </row>
    <row r="35">
      <c r="A35" t="inlineStr">
        <is>
          <t>Caramel Macchiato</t>
        </is>
      </c>
      <c r="B35" t="inlineStr">
        <is>
          <t>Coffee</t>
        </is>
      </c>
      <c r="C35" t="n">
        <v>9.5</v>
      </c>
    </row>
    <row r="36">
      <c r="A36" t="inlineStr">
        <is>
          <t>Caramel Macchiato</t>
        </is>
      </c>
      <c r="B36" t="inlineStr">
        <is>
          <t>Milk</t>
        </is>
      </c>
      <c r="C36" t="n">
        <v>170</v>
      </c>
    </row>
    <row r="37">
      <c r="A37" t="inlineStr">
        <is>
          <t>Caramel Macchiato</t>
        </is>
      </c>
      <c r="B37" t="inlineStr">
        <is>
          <t>Caramel Syrup</t>
        </is>
      </c>
      <c r="C37" t="n">
        <v>10</v>
      </c>
    </row>
    <row r="38">
      <c r="A38" t="inlineStr">
        <is>
          <t>Caramel Macchiato</t>
        </is>
      </c>
      <c r="B38" t="inlineStr">
        <is>
          <t>Vanilla Syrup</t>
        </is>
      </c>
      <c r="C38" t="n">
        <v>10</v>
      </c>
    </row>
    <row r="39">
      <c r="A39" t="inlineStr">
        <is>
          <t>Caramel Macchiato</t>
        </is>
      </c>
      <c r="B39" t="inlineStr">
        <is>
          <t>Packaging</t>
        </is>
      </c>
      <c r="C39" t="n">
        <v>1</v>
      </c>
    </row>
    <row r="40">
      <c r="A40" t="inlineStr">
        <is>
          <t>Cortado</t>
        </is>
      </c>
      <c r="B40" t="inlineStr">
        <is>
          <t>Coffee</t>
        </is>
      </c>
      <c r="C40" t="n">
        <v>18</v>
      </c>
    </row>
    <row r="41">
      <c r="A41" t="inlineStr">
        <is>
          <t>Cortado</t>
        </is>
      </c>
      <c r="B41" t="inlineStr">
        <is>
          <t>Milk</t>
        </is>
      </c>
      <c r="C41" t="n">
        <v>50</v>
      </c>
    </row>
    <row r="42">
      <c r="A42" t="inlineStr">
        <is>
          <t>Cortado</t>
        </is>
      </c>
      <c r="B42" t="inlineStr">
        <is>
          <t>Packaging</t>
        </is>
      </c>
      <c r="C42" t="n">
        <v>1</v>
      </c>
    </row>
    <row r="43">
      <c r="A43" t="inlineStr">
        <is>
          <t>Flat White</t>
        </is>
      </c>
      <c r="B43" t="inlineStr">
        <is>
          <t>Coffee</t>
        </is>
      </c>
      <c r="C43" t="n">
        <v>18</v>
      </c>
    </row>
    <row r="44">
      <c r="A44" t="inlineStr">
        <is>
          <t>Flat White</t>
        </is>
      </c>
      <c r="B44" t="inlineStr">
        <is>
          <t>Milk</t>
        </is>
      </c>
      <c r="C44" t="n">
        <v>150</v>
      </c>
    </row>
    <row r="45">
      <c r="A45" t="inlineStr">
        <is>
          <t>Flat White</t>
        </is>
      </c>
      <c r="B45" t="inlineStr">
        <is>
          <t>Packaging</t>
        </is>
      </c>
      <c r="C45" t="n">
        <v>1</v>
      </c>
    </row>
    <row r="46">
      <c r="A46" t="inlineStr">
        <is>
          <t>Iced Cappuccino</t>
        </is>
      </c>
      <c r="B46" t="inlineStr">
        <is>
          <t>Coffee</t>
        </is>
      </c>
      <c r="C46" t="n">
        <v>9.5</v>
      </c>
    </row>
    <row r="47">
      <c r="A47" t="inlineStr">
        <is>
          <t>Iced Cappuccino</t>
        </is>
      </c>
      <c r="B47" t="inlineStr">
        <is>
          <t>Milk</t>
        </is>
      </c>
      <c r="C47" t="n">
        <v>180</v>
      </c>
    </row>
    <row r="48">
      <c r="A48" t="inlineStr">
        <is>
          <t>Iced Cappuccino</t>
        </is>
      </c>
      <c r="B48" t="inlineStr">
        <is>
          <t>Ice</t>
        </is>
      </c>
      <c r="C48" t="n">
        <v>120</v>
      </c>
    </row>
    <row r="49">
      <c r="A49" t="inlineStr">
        <is>
          <t>Iced Cappuccino</t>
        </is>
      </c>
      <c r="B49" t="inlineStr">
        <is>
          <t>Packaging</t>
        </is>
      </c>
      <c r="C49" t="n">
        <v>1</v>
      </c>
    </row>
    <row r="50">
      <c r="A50" t="inlineStr">
        <is>
          <t>Iced Latte</t>
        </is>
      </c>
      <c r="B50" t="inlineStr">
        <is>
          <t>Coffee</t>
        </is>
      </c>
      <c r="C50" t="n">
        <v>9.5</v>
      </c>
    </row>
    <row r="51">
      <c r="A51" t="inlineStr">
        <is>
          <t>Iced Latte</t>
        </is>
      </c>
      <c r="B51" t="inlineStr">
        <is>
          <t>Milk</t>
        </is>
      </c>
      <c r="C51" t="n">
        <v>180</v>
      </c>
    </row>
    <row r="52">
      <c r="A52" t="inlineStr">
        <is>
          <t>Iced Latte</t>
        </is>
      </c>
      <c r="B52" t="inlineStr">
        <is>
          <t>Ice</t>
        </is>
      </c>
      <c r="C52" t="n">
        <v>120</v>
      </c>
    </row>
    <row r="53">
      <c r="A53" t="inlineStr">
        <is>
          <t>Iced Latte</t>
        </is>
      </c>
      <c r="B53" t="inlineStr">
        <is>
          <t>Packaging</t>
        </is>
      </c>
      <c r="C53" t="n">
        <v>1</v>
      </c>
    </row>
    <row r="54">
      <c r="A54" t="inlineStr">
        <is>
          <t>Iced Americano</t>
        </is>
      </c>
      <c r="B54" t="inlineStr">
        <is>
          <t>Coffee</t>
        </is>
      </c>
      <c r="C54" t="n">
        <v>9.5</v>
      </c>
    </row>
    <row r="55">
      <c r="A55" t="inlineStr">
        <is>
          <t>Iced Americano</t>
        </is>
      </c>
      <c r="B55" t="inlineStr">
        <is>
          <t>Water</t>
        </is>
      </c>
      <c r="C55" t="n">
        <v>180</v>
      </c>
    </row>
    <row r="56">
      <c r="A56" t="inlineStr">
        <is>
          <t>Iced Americano</t>
        </is>
      </c>
      <c r="B56" t="inlineStr">
        <is>
          <t>Ice</t>
        </is>
      </c>
      <c r="C56" t="n">
        <v>120</v>
      </c>
    </row>
    <row r="57">
      <c r="A57" t="inlineStr">
        <is>
          <t>Iced Americano</t>
        </is>
      </c>
      <c r="B57" t="inlineStr">
        <is>
          <t>Packaging</t>
        </is>
      </c>
      <c r="C57" t="n">
        <v>1</v>
      </c>
    </row>
    <row r="58">
      <c r="A58" t="inlineStr">
        <is>
          <t>Iced Mocha</t>
        </is>
      </c>
      <c r="B58" t="inlineStr">
        <is>
          <t>Coffee</t>
        </is>
      </c>
      <c r="C58" t="n">
        <v>9.5</v>
      </c>
    </row>
    <row r="59">
      <c r="A59" t="inlineStr">
        <is>
          <t>Iced Mocha</t>
        </is>
      </c>
      <c r="B59" t="inlineStr">
        <is>
          <t>Milk</t>
        </is>
      </c>
      <c r="C59" t="n">
        <v>180</v>
      </c>
    </row>
    <row r="60">
      <c r="A60" t="inlineStr">
        <is>
          <t>Iced Mocha</t>
        </is>
      </c>
      <c r="B60" t="inlineStr">
        <is>
          <t>Chocolate Syrup</t>
        </is>
      </c>
      <c r="C60" t="n">
        <v>10</v>
      </c>
    </row>
    <row r="61">
      <c r="A61" t="inlineStr">
        <is>
          <t>Iced Mocha</t>
        </is>
      </c>
      <c r="B61" t="inlineStr">
        <is>
          <t>Ice</t>
        </is>
      </c>
      <c r="C61" t="n">
        <v>120</v>
      </c>
    </row>
    <row r="62">
      <c r="A62" t="inlineStr">
        <is>
          <t>Matcha Latte</t>
        </is>
      </c>
      <c r="B62" t="inlineStr">
        <is>
          <t>Matcha</t>
        </is>
      </c>
      <c r="C62" t="n">
        <v>3</v>
      </c>
    </row>
    <row r="63">
      <c r="A63" t="inlineStr">
        <is>
          <t>Matcha Latte</t>
        </is>
      </c>
      <c r="B63" t="inlineStr">
        <is>
          <t>Milk</t>
        </is>
      </c>
      <c r="C63" t="n">
        <v>180</v>
      </c>
    </row>
    <row r="64">
      <c r="A64" t="inlineStr">
        <is>
          <t>Matcha Latte</t>
        </is>
      </c>
      <c r="B64" t="inlineStr">
        <is>
          <t>Packaging</t>
        </is>
      </c>
      <c r="C64" t="n">
        <v>1</v>
      </c>
    </row>
    <row r="65">
      <c r="A65" t="inlineStr">
        <is>
          <t>Honey Cinnamon Matcha</t>
        </is>
      </c>
      <c r="B65" t="inlineStr">
        <is>
          <t>Matcha</t>
        </is>
      </c>
      <c r="C65" t="n">
        <v>3</v>
      </c>
    </row>
    <row r="66">
      <c r="A66" t="inlineStr">
        <is>
          <t>Honey Cinnamon Matcha</t>
        </is>
      </c>
      <c r="B66" t="inlineStr">
        <is>
          <t>Milk</t>
        </is>
      </c>
      <c r="C66" t="n">
        <v>180</v>
      </c>
    </row>
    <row r="67">
      <c r="A67" t="inlineStr">
        <is>
          <t>Honey Cinnamon Matcha</t>
        </is>
      </c>
      <c r="B67" t="inlineStr">
        <is>
          <t>Honey</t>
        </is>
      </c>
      <c r="C67" t="n">
        <v>10</v>
      </c>
    </row>
    <row r="68">
      <c r="A68" t="inlineStr">
        <is>
          <t>Honey Cinnamon Matcha</t>
        </is>
      </c>
      <c r="B68" t="inlineStr">
        <is>
          <t>Cinnamon</t>
        </is>
      </c>
      <c r="C68" t="n">
        <v>1</v>
      </c>
    </row>
    <row r="69">
      <c r="A69" t="inlineStr">
        <is>
          <t>Lemon Tea</t>
        </is>
      </c>
      <c r="B69" t="inlineStr">
        <is>
          <t>Tea</t>
        </is>
      </c>
      <c r="C69" t="n">
        <v>3</v>
      </c>
    </row>
    <row r="70">
      <c r="A70" t="inlineStr">
        <is>
          <t>Lemon Tea</t>
        </is>
      </c>
      <c r="B70" t="inlineStr">
        <is>
          <t>Lemon</t>
        </is>
      </c>
      <c r="C70" t="n">
        <v>1</v>
      </c>
    </row>
    <row r="71">
      <c r="A71" t="inlineStr">
        <is>
          <t>Lemon Tea</t>
        </is>
      </c>
      <c r="B71" t="inlineStr">
        <is>
          <t>Water</t>
        </is>
      </c>
      <c r="C71" t="n">
        <v>200</v>
      </c>
    </row>
    <row r="72">
      <c r="A72" t="inlineStr">
        <is>
          <t>Lemon Tea</t>
        </is>
      </c>
      <c r="B72" t="inlineStr">
        <is>
          <t>Sugar</t>
        </is>
      </c>
      <c r="C72" t="n">
        <v>5</v>
      </c>
    </row>
    <row r="73">
      <c r="A73" t="inlineStr">
        <is>
          <t>Hot Chocolate</t>
        </is>
      </c>
      <c r="B73" t="inlineStr">
        <is>
          <t>Milk</t>
        </is>
      </c>
      <c r="C73" t="n">
        <v>200</v>
      </c>
    </row>
    <row r="74">
      <c r="A74" t="inlineStr">
        <is>
          <t>Hot Chocolate</t>
        </is>
      </c>
      <c r="B74" t="inlineStr">
        <is>
          <t>Chocolate Syrup</t>
        </is>
      </c>
      <c r="C74" t="n">
        <v>20</v>
      </c>
    </row>
    <row r="75">
      <c r="A75" t="inlineStr">
        <is>
          <t>Hot Chocolate</t>
        </is>
      </c>
      <c r="B75" t="inlineStr">
        <is>
          <t>Cocoa Powder</t>
        </is>
      </c>
      <c r="C75" t="n">
        <v>10</v>
      </c>
    </row>
    <row r="76">
      <c r="A76" t="inlineStr">
        <is>
          <t>Hot Chocolate</t>
        </is>
      </c>
      <c r="B76" t="inlineStr">
        <is>
          <t>Packaging</t>
        </is>
      </c>
      <c r="C76" t="n">
        <v>1</v>
      </c>
    </row>
    <row r="77">
      <c r="A77" t="inlineStr">
        <is>
          <t>Virgin Mojito</t>
        </is>
      </c>
      <c r="B77" t="inlineStr">
        <is>
          <t>Mint</t>
        </is>
      </c>
      <c r="C77" t="n">
        <v>10</v>
      </c>
    </row>
    <row r="78">
      <c r="A78" t="inlineStr">
        <is>
          <t>Virgin Mojito</t>
        </is>
      </c>
      <c r="B78" t="inlineStr">
        <is>
          <t>Lemon</t>
        </is>
      </c>
      <c r="C78" t="n">
        <v>1</v>
      </c>
    </row>
    <row r="79">
      <c r="A79" t="inlineStr">
        <is>
          <t>Virgin Mojito</t>
        </is>
      </c>
      <c r="B79" t="inlineStr">
        <is>
          <t>Sugar</t>
        </is>
      </c>
      <c r="C79" t="n">
        <v>15</v>
      </c>
    </row>
    <row r="80">
      <c r="A80" t="inlineStr">
        <is>
          <t>Virgin Mojito</t>
        </is>
      </c>
      <c r="B80" t="inlineStr">
        <is>
          <t>Soda Water</t>
        </is>
      </c>
      <c r="C80" t="n">
        <v>200</v>
      </c>
    </row>
    <row r="81">
      <c r="A81" t="inlineStr">
        <is>
          <t>Virgin Mojito</t>
        </is>
      </c>
      <c r="B81" t="inlineStr">
        <is>
          <t>Ice</t>
        </is>
      </c>
      <c r="C81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Drink</t>
        </is>
      </c>
      <c r="B1" s="1" t="inlineStr">
        <is>
          <t>Selling Price</t>
        </is>
      </c>
      <c r="C1" s="1" t="inlineStr">
        <is>
          <t>Total Cost</t>
        </is>
      </c>
      <c r="D1" s="1" t="inlineStr">
        <is>
          <t>Profit</t>
        </is>
      </c>
      <c r="E1" s="1" t="inlineStr">
        <is>
          <t>Food Cost %</t>
        </is>
      </c>
    </row>
    <row r="2">
      <c r="A2" t="inlineStr">
        <is>
          <t>Affogato</t>
        </is>
      </c>
      <c r="B2" t="n">
        <v>200</v>
      </c>
      <c r="C2">
        <f>SUMPRODUCT((Recipes!$A$2:$A$500=A2)*(Recipes!$C$2:$C$500)*IFERROR(XLOOKUP(Recipes!$B$2:$B$500,Ingredients!$A$2:$A$200,Ingredients!$E$2:$E$200),0))</f>
        <v/>
      </c>
      <c r="D2">
        <f>B2-C2</f>
        <v/>
      </c>
      <c r="E2">
        <f>IFERROR(C2/B2,0)</f>
        <v/>
      </c>
    </row>
    <row r="3">
      <c r="A3" t="inlineStr">
        <is>
          <t>Americano</t>
        </is>
      </c>
      <c r="B3" t="n">
        <v>200</v>
      </c>
      <c r="C3">
        <f>SUMPRODUCT((Recipes!$A$2:$A$500=A3)*(Recipes!$C$2:$C$500)*IFERROR(XLOOKUP(Recipes!$B$2:$B$500,Ingredients!$A$2:$A$200,Ingredients!$E$2:$E$200),0))</f>
        <v/>
      </c>
      <c r="D3">
        <f>B3-C3</f>
        <v/>
      </c>
      <c r="E3">
        <f>IFERROR(C3/B3,0)</f>
        <v/>
      </c>
    </row>
    <row r="4">
      <c r="A4" t="inlineStr">
        <is>
          <t>Cafe Latte</t>
        </is>
      </c>
      <c r="B4" t="n">
        <v>200</v>
      </c>
      <c r="C4">
        <f>SUMPRODUCT((Recipes!$A$2:$A$500=A4)*(Recipes!$C$2:$C$500)*IFERROR(XLOOKUP(Recipes!$B$2:$B$500,Ingredients!$A$2:$A$200,Ingredients!$E$2:$E$200),0))</f>
        <v/>
      </c>
      <c r="D4">
        <f>B4-C4</f>
        <v/>
      </c>
      <c r="E4">
        <f>IFERROR(C4/B4,0)</f>
        <v/>
      </c>
    </row>
    <row r="5">
      <c r="A5" t="inlineStr">
        <is>
          <t>Cappuccino</t>
        </is>
      </c>
      <c r="B5" t="n">
        <v>200</v>
      </c>
      <c r="C5">
        <f>SUMPRODUCT((Recipes!$A$2:$A$500=A5)*(Recipes!$C$2:$C$500)*IFERROR(XLOOKUP(Recipes!$B$2:$B$500,Ingredients!$A$2:$A$200,Ingredients!$E$2:$E$200),0))</f>
        <v/>
      </c>
      <c r="D5">
        <f>B5-C5</f>
        <v/>
      </c>
      <c r="E5">
        <f>IFERROR(C5/B5,0)</f>
        <v/>
      </c>
    </row>
    <row r="6">
      <c r="A6" t="inlineStr">
        <is>
          <t>Caramel Macchiato</t>
        </is>
      </c>
      <c r="B6" t="n">
        <v>200</v>
      </c>
      <c r="C6">
        <f>SUMPRODUCT((Recipes!$A$2:$A$500=A6)*(Recipes!$C$2:$C$500)*IFERROR(XLOOKUP(Recipes!$B$2:$B$500,Ingredients!$A$2:$A$200,Ingredients!$E$2:$E$200),0))</f>
        <v/>
      </c>
      <c r="D6">
        <f>B6-C6</f>
        <v/>
      </c>
      <c r="E6">
        <f>IFERROR(C6/B6,0)</f>
        <v/>
      </c>
    </row>
    <row r="7">
      <c r="A7" t="inlineStr">
        <is>
          <t>Cortado</t>
        </is>
      </c>
      <c r="B7" t="n">
        <v>200</v>
      </c>
      <c r="C7">
        <f>SUMPRODUCT((Recipes!$A$2:$A$500=A7)*(Recipes!$C$2:$C$500)*IFERROR(XLOOKUP(Recipes!$B$2:$B$500,Ingredients!$A$2:$A$200,Ingredients!$E$2:$E$200),0))</f>
        <v/>
      </c>
      <c r="D7">
        <f>B7-C7</f>
        <v/>
      </c>
      <c r="E7">
        <f>IFERROR(C7/B7,0)</f>
        <v/>
      </c>
    </row>
    <row r="8">
      <c r="A8" t="inlineStr">
        <is>
          <t>Doppio</t>
        </is>
      </c>
      <c r="B8" t="n">
        <v>200</v>
      </c>
      <c r="C8">
        <f>SUMPRODUCT((Recipes!$A$2:$A$500=A8)*(Recipes!$C$2:$C$500)*IFERROR(XLOOKUP(Recipes!$B$2:$B$500,Ingredients!$A$2:$A$200,Ingredients!$E$2:$E$200),0))</f>
        <v/>
      </c>
      <c r="D8">
        <f>B8-C8</f>
        <v/>
      </c>
      <c r="E8">
        <f>IFERROR(C8/B8,0)</f>
        <v/>
      </c>
    </row>
    <row r="9">
      <c r="A9" t="inlineStr">
        <is>
          <t>Espresso</t>
        </is>
      </c>
      <c r="B9" t="n">
        <v>200</v>
      </c>
      <c r="C9">
        <f>SUMPRODUCT((Recipes!$A$2:$A$500=A9)*(Recipes!$C$2:$C$500)*IFERROR(XLOOKUP(Recipes!$B$2:$B$500,Ingredients!$A$2:$A$200,Ingredients!$E$2:$E$200),0))</f>
        <v/>
      </c>
      <c r="D9">
        <f>B9-C9</f>
        <v/>
      </c>
      <c r="E9">
        <f>IFERROR(C9/B9,0)</f>
        <v/>
      </c>
    </row>
    <row r="10">
      <c r="A10" t="inlineStr">
        <is>
          <t>Flat White</t>
        </is>
      </c>
      <c r="B10" t="n">
        <v>200</v>
      </c>
      <c r="C10">
        <f>SUMPRODUCT((Recipes!$A$2:$A$500=A10)*(Recipes!$C$2:$C$500)*IFERROR(XLOOKUP(Recipes!$B$2:$B$500,Ingredients!$A$2:$A$200,Ingredients!$E$2:$E$200),0))</f>
        <v/>
      </c>
      <c r="D10">
        <f>B10-C10</f>
        <v/>
      </c>
      <c r="E10">
        <f>IFERROR(C10/B10,0)</f>
        <v/>
      </c>
    </row>
    <row r="11">
      <c r="A11" t="inlineStr">
        <is>
          <t>Honey Cinnamon Matcha</t>
        </is>
      </c>
      <c r="B11" t="n">
        <v>200</v>
      </c>
      <c r="C11">
        <f>SUMPRODUCT((Recipes!$A$2:$A$500=A11)*(Recipes!$C$2:$C$500)*IFERROR(XLOOKUP(Recipes!$B$2:$B$500,Ingredients!$A$2:$A$200,Ingredients!$E$2:$E$200),0))</f>
        <v/>
      </c>
      <c r="D11">
        <f>B11-C11</f>
        <v/>
      </c>
      <c r="E11">
        <f>IFERROR(C11/B11,0)</f>
        <v/>
      </c>
    </row>
    <row r="12">
      <c r="A12" t="inlineStr">
        <is>
          <t>Hot Chocolate</t>
        </is>
      </c>
      <c r="B12" t="n">
        <v>200</v>
      </c>
      <c r="C12">
        <f>SUMPRODUCT((Recipes!$A$2:$A$500=A12)*(Recipes!$C$2:$C$500)*IFERROR(XLOOKUP(Recipes!$B$2:$B$500,Ingredients!$A$2:$A$200,Ingredients!$E$2:$E$200),0))</f>
        <v/>
      </c>
      <c r="D12">
        <f>B12-C12</f>
        <v/>
      </c>
      <c r="E12">
        <f>IFERROR(C12/B12,0)</f>
        <v/>
      </c>
    </row>
    <row r="13">
      <c r="A13" t="inlineStr">
        <is>
          <t>Iced Americano</t>
        </is>
      </c>
      <c r="B13" t="n">
        <v>200</v>
      </c>
      <c r="C13">
        <f>SUMPRODUCT((Recipes!$A$2:$A$500=A13)*(Recipes!$C$2:$C$500)*IFERROR(XLOOKUP(Recipes!$B$2:$B$500,Ingredients!$A$2:$A$200,Ingredients!$E$2:$E$200),0))</f>
        <v/>
      </c>
      <c r="D13">
        <f>B13-C13</f>
        <v/>
      </c>
      <c r="E13">
        <f>IFERROR(C13/B13,0)</f>
        <v/>
      </c>
    </row>
    <row r="14">
      <c r="A14" t="inlineStr">
        <is>
          <t>Iced Cappuccino</t>
        </is>
      </c>
      <c r="B14" t="n">
        <v>200</v>
      </c>
      <c r="C14">
        <f>SUMPRODUCT((Recipes!$A$2:$A$500=A14)*(Recipes!$C$2:$C$500)*IFERROR(XLOOKUP(Recipes!$B$2:$B$500,Ingredients!$A$2:$A$200,Ingredients!$E$2:$E$200),0))</f>
        <v/>
      </c>
      <c r="D14">
        <f>B14-C14</f>
        <v/>
      </c>
      <c r="E14">
        <f>IFERROR(C14/B14,0)</f>
        <v/>
      </c>
    </row>
    <row r="15">
      <c r="A15" t="inlineStr">
        <is>
          <t>Iced Latte</t>
        </is>
      </c>
      <c r="B15" t="n">
        <v>200</v>
      </c>
      <c r="C15">
        <f>SUMPRODUCT((Recipes!$A$2:$A$500=A15)*(Recipes!$C$2:$C$500)*IFERROR(XLOOKUP(Recipes!$B$2:$B$500,Ingredients!$A$2:$A$200,Ingredients!$E$2:$E$200),0))</f>
        <v/>
      </c>
      <c r="D15">
        <f>B15-C15</f>
        <v/>
      </c>
      <c r="E15">
        <f>IFERROR(C15/B15,0)</f>
        <v/>
      </c>
    </row>
    <row r="16">
      <c r="A16" t="inlineStr">
        <is>
          <t>Iced Mocha</t>
        </is>
      </c>
      <c r="B16" t="n">
        <v>200</v>
      </c>
      <c r="C16">
        <f>SUMPRODUCT((Recipes!$A$2:$A$500=A16)*(Recipes!$C$2:$C$500)*IFERROR(XLOOKUP(Recipes!$B$2:$B$500,Ingredients!$A$2:$A$200,Ingredients!$E$2:$E$200),0))</f>
        <v/>
      </c>
      <c r="D16">
        <f>B16-C16</f>
        <v/>
      </c>
      <c r="E16">
        <f>IFERROR(C16/B16,0)</f>
        <v/>
      </c>
    </row>
    <row r="17">
      <c r="A17" t="inlineStr">
        <is>
          <t>Lemon Tea</t>
        </is>
      </c>
      <c r="B17" t="n">
        <v>200</v>
      </c>
      <c r="C17">
        <f>SUMPRODUCT((Recipes!$A$2:$A$500=A17)*(Recipes!$C$2:$C$500)*IFERROR(XLOOKUP(Recipes!$B$2:$B$500,Ingredients!$A$2:$A$200,Ingredients!$E$2:$E$200),0))</f>
        <v/>
      </c>
      <c r="D17">
        <f>B17-C17</f>
        <v/>
      </c>
      <c r="E17">
        <f>IFERROR(C17/B17,0)</f>
        <v/>
      </c>
    </row>
    <row r="18">
      <c r="A18" t="inlineStr">
        <is>
          <t>Lungo</t>
        </is>
      </c>
      <c r="B18" t="n">
        <v>200</v>
      </c>
      <c r="C18">
        <f>SUMPRODUCT((Recipes!$A$2:$A$500=A18)*(Recipes!$C$2:$C$500)*IFERROR(XLOOKUP(Recipes!$B$2:$B$500,Ingredients!$A$2:$A$200,Ingredients!$E$2:$E$200),0))</f>
        <v/>
      </c>
      <c r="D18">
        <f>B18-C18</f>
        <v/>
      </c>
      <c r="E18">
        <f>IFERROR(C18/B18,0)</f>
        <v/>
      </c>
    </row>
    <row r="19">
      <c r="A19" t="inlineStr">
        <is>
          <t>Macchiato</t>
        </is>
      </c>
      <c r="B19" t="n">
        <v>200</v>
      </c>
      <c r="C19">
        <f>SUMPRODUCT((Recipes!$A$2:$A$500=A19)*(Recipes!$C$2:$C$500)*IFERROR(XLOOKUP(Recipes!$B$2:$B$500,Ingredients!$A$2:$A$200,Ingredients!$E$2:$E$200),0))</f>
        <v/>
      </c>
      <c r="D19">
        <f>B19-C19</f>
        <v/>
      </c>
      <c r="E19">
        <f>IFERROR(C19/B19,0)</f>
        <v/>
      </c>
    </row>
    <row r="20">
      <c r="A20" t="inlineStr">
        <is>
          <t>Matcha Latte</t>
        </is>
      </c>
      <c r="B20" t="n">
        <v>200</v>
      </c>
      <c r="C20">
        <f>SUMPRODUCT((Recipes!$A$2:$A$500=A20)*(Recipes!$C$2:$C$500)*IFERROR(XLOOKUP(Recipes!$B$2:$B$500,Ingredients!$A$2:$A$200,Ingredients!$E$2:$E$200),0))</f>
        <v/>
      </c>
      <c r="D20">
        <f>B20-C20</f>
        <v/>
      </c>
      <c r="E20">
        <f>IFERROR(C20/B20,0)</f>
        <v/>
      </c>
    </row>
    <row r="21">
      <c r="A21" t="inlineStr">
        <is>
          <t>Mocha</t>
        </is>
      </c>
      <c r="B21" t="n">
        <v>200</v>
      </c>
      <c r="C21">
        <f>SUMPRODUCT((Recipes!$A$2:$A$500=A21)*(Recipes!$C$2:$C$500)*IFERROR(XLOOKUP(Recipes!$B$2:$B$500,Ingredients!$A$2:$A$200,Ingredients!$E$2:$E$200),0))</f>
        <v/>
      </c>
      <c r="D21">
        <f>B21-C21</f>
        <v/>
      </c>
      <c r="E21">
        <f>IFERROR(C21/B21,0)</f>
        <v/>
      </c>
    </row>
    <row r="22">
      <c r="A22" t="inlineStr">
        <is>
          <t>Ristretto</t>
        </is>
      </c>
      <c r="B22" t="n">
        <v>200</v>
      </c>
      <c r="C22">
        <f>SUMPRODUCT((Recipes!$A$2:$A$500=A22)*(Recipes!$C$2:$C$500)*IFERROR(XLOOKUP(Recipes!$B$2:$B$500,Ingredients!$A$2:$A$200,Ingredients!$E$2:$E$200),0))</f>
        <v/>
      </c>
      <c r="D22">
        <f>B22-C22</f>
        <v/>
      </c>
      <c r="E22">
        <f>IFERROR(C22/B22,0)</f>
        <v/>
      </c>
    </row>
    <row r="23">
      <c r="A23" t="inlineStr">
        <is>
          <t>Virgin Mojito</t>
        </is>
      </c>
      <c r="B23" t="n">
        <v>200</v>
      </c>
      <c r="C23">
        <f>SUMPRODUCT((Recipes!$A$2:$A$500=A23)*(Recipes!$C$2:$C$500)*IFERROR(XLOOKUP(Recipes!$B$2:$B$500,Ingredients!$A$2:$A$200,Ingredients!$E$2:$E$200),0))</f>
        <v/>
      </c>
      <c r="D23">
        <f>B23-C23</f>
        <v/>
      </c>
      <c r="E23">
        <f>IFERROR(C23/B23,0)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2026-09-23T13:27:02Z</dcterms:created>
  <dcterms:modified xmlns:dcterms="http://purl.org/dc/terms/" xmlns:xsi="http://www.w3.org/2001/XMLSchema-instance" xsi:type="dcterms:W3CDTF">2026-09-23T13:27:02Z</dcterms:modified>
</cp:coreProperties>
</file>